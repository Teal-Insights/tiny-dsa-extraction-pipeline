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Engine" sheetId="2" state="visible" r:id="rId2"/>
    <sheet xmlns:r="http://schemas.openxmlformats.org/officeDocument/2006/relationships" name="Outputs" sheetId="3" state="visible" r:id="rId3"/>
  </sheets>
  <definedNames>
    <definedName name="country_name">Inputs!$B$5</definedName>
    <definedName name="initial_debt_to_gdp">Inputs!$B$6</definedName>
    <definedName name="country_profile_table">Inputs!$A$10:$C$12</definedName>
    <definedName name="growth_baseline">Inputs!$C$16:$G$16</definedName>
    <definedName name="interest_baseline">Inputs!$C$17:$G$17</definedName>
    <definedName name="primary_balance_baseline">Inputs!$C$18:$G$18</definedName>
    <definedName name="shock_year">Inputs!$B$21</definedName>
    <definedName name="shock_type">Inputs!$B$22</definedName>
    <definedName name="shock_table">Inputs!$B$26:$D$26</definedName>
    <definedName name="shock_magnitude_resolved">Engine!$B$9</definedName>
    <definedName name="baseline_path">Engine!$C$6:$G$6</definedName>
    <definedName name="shocked_path">Engine!$C$20:$G$20</definedName>
    <definedName name="output_baseline">Outputs!$B$12:$F$12</definedName>
    <definedName name="output_shocked">Outputs!$B$13:$F$13</definedName>
    <definedName name="output_delta">Outputs!$B$14:$F$14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;-0.00"/>
    <numFmt numFmtId="165" formatCode="+0.00;-0.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DDE5EE"/>
      </patternFill>
    </fill>
    <fill>
      <patternFill patternType="solid">
        <fgColor rgb="00FFF8DC"/>
      </patternFill>
    </fill>
    <fill>
      <patternFill patternType="solid">
        <fgColor rgb="00E0F0E0"/>
      </patternFill>
    </fill>
    <fill>
      <patternFill patternType="solid">
        <fgColor rgb="00F0E8FF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0" fillId="5" borderId="1" pivotButton="0" quotePrefix="0" xfId="0"/>
    <xf numFmtId="2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3" fillId="0" borderId="0" pivotButton="0" quotePrefix="0" xfId="0"/>
    <xf numFmtId="2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165" fontId="0" fillId="3" borderId="1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4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TINY-DSA — INPUTS</t>
        </is>
      </c>
    </row>
    <row r="2">
      <c r="A2" s="2" t="inlineStr">
        <is>
          <t>Tiny Debt Dynamics, version 0.2.0. All user-editable parameters.</t>
        </is>
      </c>
    </row>
    <row r="4">
      <c r="A4" s="3" t="inlineStr">
        <is>
          <t>COUNTRY SELECTOR</t>
        </is>
      </c>
    </row>
    <row r="5">
      <c r="A5" t="inlineStr">
        <is>
          <t>Country name</t>
        </is>
      </c>
      <c r="B5" s="4" t="inlineStr">
        <is>
          <t>Borvelia</t>
        </is>
      </c>
    </row>
    <row r="6">
      <c r="A6" t="inlineStr">
        <is>
          <t>Initial debt-to-GDP (% of GDP)</t>
        </is>
      </c>
      <c r="B6" s="5">
        <f>INDEX($A$10:$C$12,MATCH($B$5,$A$10:$A$12,0),2)</f>
        <v/>
      </c>
    </row>
    <row r="8">
      <c r="A8" s="3" t="inlineStr">
        <is>
          <t>COUNTRY PROFILE TABLE (lookup data)</t>
        </is>
      </c>
    </row>
    <row r="9">
      <c r="A9" s="6" t="inlineStr">
        <is>
          <t>Country</t>
        </is>
      </c>
      <c r="B9" s="7" t="inlineStr">
        <is>
          <t>Initial debt (% of GDP)</t>
        </is>
      </c>
      <c r="C9" s="6" t="inlineStr">
        <is>
          <t>Description</t>
        </is>
      </c>
    </row>
    <row r="10">
      <c r="A10" s="8" t="inlineStr">
        <is>
          <t>Borvelia</t>
        </is>
      </c>
      <c r="B10" s="9" t="n">
        <v>60</v>
      </c>
      <c r="C10" s="10" t="inlineStr">
        <is>
          <t>stylized emerging market</t>
        </is>
      </c>
    </row>
    <row r="11">
      <c r="A11" s="8" t="inlineStr">
        <is>
          <t>Litellia</t>
        </is>
      </c>
      <c r="B11" s="9" t="n">
        <v>80</v>
      </c>
      <c r="C11" s="10" t="inlineStr">
        <is>
          <t>stylized HIPC</t>
        </is>
      </c>
    </row>
    <row r="12">
      <c r="A12" s="8" t="inlineStr">
        <is>
          <t>Aurelium</t>
        </is>
      </c>
      <c r="B12" s="9" t="n">
        <v>40</v>
      </c>
      <c r="C12" s="10" t="inlineStr">
        <is>
          <t>stylized advanced economy</t>
        </is>
      </c>
    </row>
    <row r="14">
      <c r="A14" s="3" t="inlineStr">
        <is>
          <t>BASELINE PARAMETERS</t>
        </is>
      </c>
    </row>
    <row r="15">
      <c r="A15" s="11" t="inlineStr">
        <is>
          <t>Year</t>
        </is>
      </c>
      <c r="C15" s="7" t="n">
        <v>1</v>
      </c>
      <c r="D15" s="7" t="n">
        <v>2</v>
      </c>
      <c r="E15" s="7" t="n">
        <v>3</v>
      </c>
      <c r="F15" s="7" t="n">
        <v>4</v>
      </c>
      <c r="G15" s="7" t="n">
        <v>5</v>
      </c>
    </row>
    <row r="16">
      <c r="A16" t="inlineStr">
        <is>
          <t>Real GDP growth (% per annum)</t>
        </is>
      </c>
      <c r="C16" s="12" t="n">
        <v>3.5</v>
      </c>
      <c r="D16" s="12" t="n">
        <v>3.5</v>
      </c>
      <c r="E16" s="12" t="n">
        <v>3.5</v>
      </c>
      <c r="F16" s="12" t="n">
        <v>3.5</v>
      </c>
      <c r="G16" s="12" t="n">
        <v>3.5</v>
      </c>
    </row>
    <row r="17">
      <c r="A17" t="inlineStr">
        <is>
          <t>Real interest rate (% per annum)</t>
        </is>
      </c>
      <c r="C17" s="12" t="n">
        <v>4</v>
      </c>
      <c r="D17" s="12" t="n">
        <v>4</v>
      </c>
      <c r="E17" s="12" t="n">
        <v>4</v>
      </c>
      <c r="F17" s="12" t="n">
        <v>4</v>
      </c>
      <c r="G17" s="12" t="n">
        <v>4</v>
      </c>
    </row>
    <row r="18">
      <c r="A18" t="inlineStr">
        <is>
          <t>Primary balance (% of GDP)</t>
        </is>
      </c>
      <c r="C18" s="13" t="n">
        <v>-1</v>
      </c>
      <c r="D18" s="13" t="n">
        <v>-0.5</v>
      </c>
      <c r="E18" s="13" t="n">
        <v>0</v>
      </c>
      <c r="F18" s="13" t="n">
        <v>0.5</v>
      </c>
      <c r="G18" s="13" t="n">
        <v>1</v>
      </c>
    </row>
    <row r="20">
      <c r="A20" s="3" t="inlineStr">
        <is>
          <t>SHOCK CONFIGURATION</t>
        </is>
      </c>
    </row>
    <row r="21">
      <c r="A21" t="inlineStr">
        <is>
          <t>Shock year (integer, 1 to 5)</t>
        </is>
      </c>
      <c r="B21" s="14" t="n">
        <v>2</v>
      </c>
    </row>
    <row r="22">
      <c r="A22" t="inlineStr">
        <is>
          <t>Shock type (1=growth, 2=interest, 3=primary balance)</t>
        </is>
      </c>
      <c r="B22" s="14" t="n">
        <v>1</v>
      </c>
    </row>
    <row r="24">
      <c r="A24" s="3" t="inlineStr">
        <is>
          <t>SHOCK TABLE (lookup by shock type, in percentage points)</t>
        </is>
      </c>
    </row>
    <row r="25">
      <c r="A25" s="6" t="inlineStr">
        <is>
          <t>Shock type</t>
        </is>
      </c>
      <c r="B25" s="7" t="inlineStr">
        <is>
          <t>Growth (pp)</t>
        </is>
      </c>
      <c r="C25" s="7" t="inlineStr">
        <is>
          <t>Interest (pp)</t>
        </is>
      </c>
      <c r="D25" s="7" t="inlineStr">
        <is>
          <t>Primary balance (pp)</t>
        </is>
      </c>
    </row>
    <row r="26">
      <c r="A26" s="15" t="inlineStr">
        <is>
          <t>Magnitude</t>
        </is>
      </c>
      <c r="B26" s="16" t="n">
        <v>-2</v>
      </c>
      <c r="C26" s="16" t="n">
        <v>2</v>
      </c>
      <c r="D26" s="16" t="n">
        <v>-1</v>
      </c>
    </row>
  </sheetData>
  <mergeCells count="7">
    <mergeCell ref="A14:G14"/>
    <mergeCell ref="A1:G1"/>
    <mergeCell ref="A8:G8"/>
    <mergeCell ref="A4:G4"/>
    <mergeCell ref="A20:G20"/>
    <mergeCell ref="A24:G24"/>
    <mergeCell ref="A2:G2"/>
  </mergeCells>
  <dataValidations count="3">
    <dataValidation sqref="B5" showDropDown="0" showInputMessage="0" showErrorMessage="1" allowBlank="0" errorTitle="Invalid country" error="Country must be one of: Borvelia, Litellia, Aurelium." type="list">
      <formula1>=$A$10:$A$12</formula1>
    </dataValidation>
    <dataValidation sqref="B21" showDropDown="0" showInputMessage="0" showErrorMessage="1" allowBlank="0" errorTitle="Invalid shock year" error="Shock year must be an integer between 1 and 5." type="whole" operator="between">
      <formula1>1</formula1>
      <formula2>5</formula2>
    </dataValidation>
    <dataValidation sqref="B22" showDropDown="0" showInputMessage="0" showErrorMessage="1" allowBlank="0" errorTitle="Invalid shock type" error="Shock type must be 1 (growth), 2 (interest), or 3 (primary balance)." type="whole" operator="between">
      <formula1>1</formula1>
      <formula2>3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TINY-DSA — ENGINE</t>
        </is>
      </c>
    </row>
    <row r="2">
      <c r="A2" s="2" t="inlineStr">
        <is>
          <t>All references read from the Inputs sheet. Outputs are exposed on the Outputs sheet.</t>
        </is>
      </c>
    </row>
    <row r="4">
      <c r="A4" s="3" t="inlineStr">
        <is>
          <t>BASELINE PATH</t>
        </is>
      </c>
    </row>
    <row r="5">
      <c r="A5" s="11" t="inlineStr">
        <is>
          <t>Year</t>
        </is>
      </c>
      <c r="B5" s="7" t="n">
        <v>0</v>
      </c>
      <c r="C5" s="7" t="n">
        <v>1</v>
      </c>
      <c r="D5" s="7" t="n">
        <v>2</v>
      </c>
      <c r="E5" s="7" t="n">
        <v>3</v>
      </c>
      <c r="F5" s="7" t="n">
        <v>4</v>
      </c>
      <c r="G5" s="7" t="n">
        <v>5</v>
      </c>
    </row>
    <row r="6">
      <c r="A6" t="inlineStr">
        <is>
          <t>Debt-to-GDP (%)</t>
        </is>
      </c>
      <c r="B6" s="17">
        <f>Inputs!B6</f>
        <v/>
      </c>
      <c r="C6" s="17">
        <f>B6*(1+Inputs!C17/100)/(1+Inputs!C16/100)-Inputs!C18</f>
        <v/>
      </c>
      <c r="D6" s="17">
        <f>C6*(1+Inputs!D17/100)/(1+Inputs!D16/100)-Inputs!D18</f>
        <v/>
      </c>
      <c r="E6" s="17">
        <f>D6*(1+Inputs!E17/100)/(1+Inputs!E16/100)-Inputs!E18</f>
        <v/>
      </c>
      <c r="F6" s="17">
        <f>E6*(1+Inputs!F17/100)/(1+Inputs!F16/100)-Inputs!F18</f>
        <v/>
      </c>
      <c r="G6" s="17">
        <f>F6*(1+Inputs!G17/100)/(1+Inputs!G16/100)-Inputs!G18</f>
        <v/>
      </c>
    </row>
    <row r="8">
      <c r="A8" s="3" t="inlineStr">
        <is>
          <t>SHOCK ACTIVATION</t>
        </is>
      </c>
    </row>
    <row r="9">
      <c r="A9" t="inlineStr">
        <is>
          <t>Shock magnitude (pp), via OFFSET on shock_type</t>
        </is>
      </c>
      <c r="B9" s="18">
        <f>OFFSET(Inputs!$B$26,0,Inputs!$B$22-1)</f>
        <v/>
      </c>
    </row>
    <row r="10">
      <c r="A10" t="inlineStr">
        <is>
          <t>Shock active (1 if year &gt;= shock_year, else 0)</t>
        </is>
      </c>
      <c r="C10" s="19">
        <f>IF(C5&gt;=Inputs!$B$21,1,0)</f>
        <v/>
      </c>
      <c r="D10" s="19">
        <f>IF(D5&gt;=Inputs!$B$21,1,0)</f>
        <v/>
      </c>
      <c r="E10" s="19">
        <f>IF(E5&gt;=Inputs!$B$21,1,0)</f>
        <v/>
      </c>
      <c r="F10" s="19">
        <f>IF(F5&gt;=Inputs!$B$21,1,0)</f>
        <v/>
      </c>
      <c r="G10" s="19">
        <f>IF(G5&gt;=Inputs!$B$21,1,0)</f>
        <v/>
      </c>
    </row>
    <row r="12">
      <c r="A12" s="3" t="inlineStr">
        <is>
          <t>SHOCKED PARAMETERS</t>
        </is>
      </c>
    </row>
    <row r="13">
      <c r="A13" s="11" t="inlineStr">
        <is>
          <t>Year</t>
        </is>
      </c>
      <c r="C13" s="7" t="n">
        <v>1</v>
      </c>
      <c r="D13" s="7" t="n">
        <v>2</v>
      </c>
      <c r="E13" s="7" t="n">
        <v>3</v>
      </c>
      <c r="F13" s="7" t="n">
        <v>4</v>
      </c>
      <c r="G13" s="7" t="n">
        <v>5</v>
      </c>
    </row>
    <row r="14">
      <c r="A14" t="inlineStr">
        <is>
          <t>Real GDP growth, shocked (%)</t>
        </is>
      </c>
      <c r="C14" s="17">
        <f>Inputs!C16+CHOOSE(Inputs!$B$22,$B$9,0,0)*C10</f>
        <v/>
      </c>
      <c r="D14" s="17">
        <f>Inputs!D16+CHOOSE(Inputs!$B$22,$B$9,0,0)*D10</f>
        <v/>
      </c>
      <c r="E14" s="17">
        <f>Inputs!E16+CHOOSE(Inputs!$B$22,$B$9,0,0)*E10</f>
        <v/>
      </c>
      <c r="F14" s="17">
        <f>Inputs!F16+CHOOSE(Inputs!$B$22,$B$9,0,0)*F10</f>
        <v/>
      </c>
      <c r="G14" s="17">
        <f>Inputs!G16+CHOOSE(Inputs!$B$22,$B$9,0,0)*G10</f>
        <v/>
      </c>
    </row>
    <row r="15">
      <c r="A15" t="inlineStr">
        <is>
          <t>Real interest rate, shocked (%)</t>
        </is>
      </c>
      <c r="C15" s="17">
        <f>Inputs!C17+CHOOSE(Inputs!$B$22,0,$B$9,0)*C10</f>
        <v/>
      </c>
      <c r="D15" s="17">
        <f>Inputs!D17+CHOOSE(Inputs!$B$22,0,$B$9,0)*D10</f>
        <v/>
      </c>
      <c r="E15" s="17">
        <f>Inputs!E17+CHOOSE(Inputs!$B$22,0,$B$9,0)*E10</f>
        <v/>
      </c>
      <c r="F15" s="17">
        <f>Inputs!F17+CHOOSE(Inputs!$B$22,0,$B$9,0)*F10</f>
        <v/>
      </c>
      <c r="G15" s="17">
        <f>Inputs!G17+CHOOSE(Inputs!$B$22,0,$B$9,0)*G10</f>
        <v/>
      </c>
    </row>
    <row r="16">
      <c r="A16" t="inlineStr">
        <is>
          <t>Primary balance, shocked (% of GDP)</t>
        </is>
      </c>
      <c r="C16" s="20">
        <f>Inputs!C18+CHOOSE(Inputs!$B$22,0,0,$B$9)*C10</f>
        <v/>
      </c>
      <c r="D16" s="20">
        <f>Inputs!D18+CHOOSE(Inputs!$B$22,0,0,$B$9)*D10</f>
        <v/>
      </c>
      <c r="E16" s="20">
        <f>Inputs!E18+CHOOSE(Inputs!$B$22,0,0,$B$9)*E10</f>
        <v/>
      </c>
      <c r="F16" s="20">
        <f>Inputs!F18+CHOOSE(Inputs!$B$22,0,0,$B$9)*F10</f>
        <v/>
      </c>
      <c r="G16" s="20">
        <f>Inputs!G18+CHOOSE(Inputs!$B$22,0,0,$B$9)*G10</f>
        <v/>
      </c>
    </row>
    <row r="18">
      <c r="A18" s="3" t="inlineStr">
        <is>
          <t>SHOCKED PATH</t>
        </is>
      </c>
    </row>
    <row r="19">
      <c r="A19" s="11" t="inlineStr">
        <is>
          <t>Year</t>
        </is>
      </c>
      <c r="B19" s="7" t="n">
        <v>0</v>
      </c>
      <c r="C19" s="7" t="n">
        <v>1</v>
      </c>
      <c r="D19" s="7" t="n">
        <v>2</v>
      </c>
      <c r="E19" s="7" t="n">
        <v>3</v>
      </c>
      <c r="F19" s="7" t="n">
        <v>4</v>
      </c>
      <c r="G19" s="7" t="n">
        <v>5</v>
      </c>
    </row>
    <row r="20">
      <c r="A20" t="inlineStr">
        <is>
          <t>Debt-to-GDP (%)</t>
        </is>
      </c>
      <c r="B20" s="17">
        <f>Inputs!B6</f>
        <v/>
      </c>
      <c r="C20" s="17">
        <f>B20*(1+C15/100)/(1+C14/100)-C16</f>
        <v/>
      </c>
      <c r="D20" s="17">
        <f>C20*(1+D15/100)/(1+D14/100)-D16</f>
        <v/>
      </c>
      <c r="E20" s="17">
        <f>D20*(1+E15/100)/(1+E14/100)-E16</f>
        <v/>
      </c>
      <c r="F20" s="17">
        <f>E20*(1+F15/100)/(1+F14/100)-F16</f>
        <v/>
      </c>
      <c r="G20" s="17">
        <f>F20*(1+G15/100)/(1+G14/100)-G16</f>
        <v/>
      </c>
    </row>
  </sheetData>
  <mergeCells count="6">
    <mergeCell ref="A1:G1"/>
    <mergeCell ref="A18:G18"/>
    <mergeCell ref="A8:G8"/>
    <mergeCell ref="A12:G12"/>
    <mergeCell ref="A4:G4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TINY-DSA — OUTPUTS</t>
        </is>
      </c>
    </row>
    <row r="2">
      <c r="A2" s="2" t="inlineStr">
        <is>
          <t>Comparison: baseline vs shocked debt-to-GDP trajectory.</t>
        </is>
      </c>
    </row>
    <row r="4">
      <c r="A4" s="3" t="inlineStr">
        <is>
          <t>SUMMARY</t>
        </is>
      </c>
    </row>
    <row r="5">
      <c r="A5" t="inlineStr">
        <is>
          <t>Country</t>
        </is>
      </c>
      <c r="B5" s="21">
        <f>Inputs!B5</f>
        <v/>
      </c>
    </row>
    <row r="6">
      <c r="A6" t="inlineStr">
        <is>
          <t>Initial debt (% of GDP)</t>
        </is>
      </c>
      <c r="B6" s="17">
        <f>Inputs!B6</f>
        <v/>
      </c>
    </row>
    <row r="7">
      <c r="A7" t="inlineStr">
        <is>
          <t>Shock year</t>
        </is>
      </c>
      <c r="B7" s="19">
        <f>Inputs!B21</f>
        <v/>
      </c>
    </row>
    <row r="8">
      <c r="A8" t="inlineStr">
        <is>
          <t>Shock type (1=growth, 2=interest, 3=primary balance)</t>
        </is>
      </c>
      <c r="B8" s="19">
        <f>Inputs!B22</f>
        <v/>
      </c>
    </row>
    <row r="10">
      <c r="A10" s="3" t="inlineStr">
        <is>
          <t>DEBT-TO-GDP TRAJECTORY</t>
        </is>
      </c>
    </row>
    <row r="11">
      <c r="A11" s="11" t="inlineStr">
        <is>
          <t>Year</t>
        </is>
      </c>
      <c r="B11" s="7" t="n">
        <v>1</v>
      </c>
      <c r="C11" s="7" t="n">
        <v>2</v>
      </c>
      <c r="D11" s="7" t="n">
        <v>3</v>
      </c>
      <c r="E11" s="7" t="n">
        <v>4</v>
      </c>
      <c r="F11" s="7" t="n">
        <v>5</v>
      </c>
    </row>
    <row r="12">
      <c r="A12" t="inlineStr">
        <is>
          <t>Baseline (% of GDP)</t>
        </is>
      </c>
      <c r="B12" s="22">
        <f>Engine!C6</f>
        <v/>
      </c>
      <c r="C12" s="22">
        <f>Engine!D6</f>
        <v/>
      </c>
      <c r="D12" s="22">
        <f>Engine!E6</f>
        <v/>
      </c>
      <c r="E12" s="22">
        <f>Engine!F6</f>
        <v/>
      </c>
      <c r="F12" s="22">
        <f>Engine!G6</f>
        <v/>
      </c>
    </row>
    <row r="13">
      <c r="A13" t="inlineStr">
        <is>
          <t>Shocked (% of GDP)</t>
        </is>
      </c>
      <c r="B13" s="22">
        <f>Engine!C20</f>
        <v/>
      </c>
      <c r="C13" s="22">
        <f>Engine!D20</f>
        <v/>
      </c>
      <c r="D13" s="22">
        <f>Engine!E20</f>
        <v/>
      </c>
      <c r="E13" s="22">
        <f>Engine!F20</f>
        <v/>
      </c>
      <c r="F13" s="22">
        <f>Engine!G20</f>
        <v/>
      </c>
    </row>
    <row r="14">
      <c r="A14" t="inlineStr">
        <is>
          <t>Delta (shocked − baseline, pp)</t>
        </is>
      </c>
      <c r="B14" s="23">
        <f>B13-B12</f>
        <v/>
      </c>
      <c r="C14" s="23">
        <f>C13-C12</f>
        <v/>
      </c>
      <c r="D14" s="23">
        <f>D13-D12</f>
        <v/>
      </c>
      <c r="E14" s="23">
        <f>E13-E12</f>
        <v/>
      </c>
      <c r="F14" s="23">
        <f>F13-F12</f>
        <v/>
      </c>
    </row>
  </sheetData>
  <mergeCells count="4">
    <mergeCell ref="A2:G2"/>
    <mergeCell ref="A1:G1"/>
    <mergeCell ref="A10:G10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Teal Insights</dc:creator>
  <dc:title xmlns:dc="http://purl.org/dc/elements/1.1/">Tiny-DSA v0.2.0</dc:title>
  <dcterms:created xmlns:dcterms="http://purl.org/dc/terms/" xmlns:xsi="http://www.w3.org/2001/XMLSchema-instance" xsi:type="dcterms:W3CDTF">2026-05-04T00:00:00Z</dcterms:created>
  <dcterms:modified xmlns:dcterms="http://purl.org/dc/terms/" xmlns:xsi="http://www.w3.org/2001/XMLSchema-instance" xsi:type="dcterms:W3CDTF">2026-05-04T00:00:00Z</dcterms:modified>
  <cp:lastModifiedBy>Teal Insights</cp:lastModifiedBy>
</cp:coreProperties>
</file>